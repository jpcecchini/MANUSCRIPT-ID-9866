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pcec\Escritorio\UNRAF bis\Proyectos\SIMULACION Ramiro\V2G\BIOGAS\"/>
    </mc:Choice>
  </mc:AlternateContent>
  <xr:revisionPtr revIDLastSave="0" documentId="13_ncr:1_{48A00B08-518B-47D5-AB45-84DC45D35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3" i="1" l="1"/>
  <c r="M73" i="1"/>
  <c r="L73" i="1"/>
  <c r="K73" i="1"/>
  <c r="J73" i="1"/>
  <c r="I73" i="1"/>
  <c r="H73" i="1"/>
  <c r="G73" i="1"/>
  <c r="F73" i="1"/>
  <c r="E73" i="1"/>
  <c r="D73" i="1"/>
  <c r="C73" i="1"/>
  <c r="B73" i="1"/>
  <c r="N59" i="1"/>
  <c r="C59" i="1"/>
  <c r="D59" i="1"/>
  <c r="E59" i="1"/>
  <c r="F59" i="1"/>
  <c r="G59" i="1"/>
  <c r="H59" i="1"/>
  <c r="I59" i="1"/>
  <c r="J59" i="1"/>
  <c r="K59" i="1"/>
  <c r="L59" i="1"/>
  <c r="M59" i="1"/>
  <c r="B59" i="1"/>
  <c r="Q48" i="1"/>
  <c r="S48" i="1" s="1"/>
  <c r="Q46" i="1"/>
  <c r="S46" i="1" s="1"/>
  <c r="Q44" i="1"/>
  <c r="Q42" i="1"/>
  <c r="S42" i="1" s="1"/>
  <c r="Q40" i="1"/>
  <c r="Q38" i="1"/>
  <c r="S38" i="1" s="1"/>
  <c r="R38" i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L48" i="1"/>
  <c r="N48" i="1" s="1"/>
  <c r="L46" i="1"/>
  <c r="L44" i="1"/>
  <c r="N44" i="1" s="1"/>
  <c r="L42" i="1"/>
  <c r="N42" i="1" s="1"/>
  <c r="L40" i="1"/>
  <c r="L38" i="1"/>
  <c r="M38" i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G38" i="1"/>
  <c r="I38" i="1" s="1"/>
  <c r="G36" i="1"/>
  <c r="G34" i="1"/>
  <c r="I34" i="1" s="1"/>
  <c r="G32" i="1"/>
  <c r="I32" i="1" s="1"/>
  <c r="G30" i="1"/>
  <c r="I30" i="1" s="1"/>
  <c r="G28" i="1"/>
  <c r="H28" i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B38" i="1"/>
  <c r="D38" i="1" s="1"/>
  <c r="B36" i="1"/>
  <c r="B34" i="1"/>
  <c r="B32" i="1"/>
  <c r="D32" i="1" s="1"/>
  <c r="B30" i="1"/>
  <c r="D30" i="1" s="1"/>
  <c r="B28" i="1"/>
  <c r="C28" i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Q32" i="1"/>
  <c r="S32" i="1" s="1"/>
  <c r="Q30" i="1"/>
  <c r="S30" i="1" s="1"/>
  <c r="Q28" i="1"/>
  <c r="S28" i="1" s="1"/>
  <c r="Q26" i="1"/>
  <c r="Q24" i="1"/>
  <c r="Q22" i="1"/>
  <c r="R22" i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L32" i="1"/>
  <c r="N32" i="1" s="1"/>
  <c r="L30" i="1"/>
  <c r="N30" i="1" s="1"/>
  <c r="L28" i="1"/>
  <c r="N28" i="1" s="1"/>
  <c r="L26" i="1"/>
  <c r="N26" i="1" s="1"/>
  <c r="L24" i="1"/>
  <c r="L22" i="1"/>
  <c r="M22" i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L15" i="1"/>
  <c r="N15" i="1" s="1"/>
  <c r="L13" i="1"/>
  <c r="L11" i="1"/>
  <c r="L9" i="1"/>
  <c r="L7" i="1"/>
  <c r="N7" i="1" s="1"/>
  <c r="L5" i="1"/>
  <c r="N41" i="1" l="1"/>
  <c r="D33" i="1"/>
  <c r="S45" i="1"/>
  <c r="N6" i="1"/>
  <c r="D37" i="1"/>
  <c r="N47" i="1"/>
  <c r="S25" i="1"/>
  <c r="S29" i="1"/>
  <c r="D31" i="1"/>
  <c r="I31" i="1"/>
  <c r="N10" i="1"/>
  <c r="N23" i="1"/>
  <c r="S24" i="1"/>
  <c r="N39" i="1"/>
  <c r="N12" i="1"/>
  <c r="I33" i="1"/>
  <c r="I35" i="1"/>
  <c r="S43" i="1"/>
  <c r="I36" i="1"/>
  <c r="I37" i="1"/>
  <c r="D35" i="1"/>
  <c r="G39" i="1"/>
  <c r="N45" i="1"/>
  <c r="N14" i="1"/>
  <c r="S47" i="1"/>
  <c r="S37" i="1"/>
  <c r="Q49" i="1"/>
  <c r="S39" i="1"/>
  <c r="S40" i="1"/>
  <c r="S41" i="1"/>
  <c r="S44" i="1"/>
  <c r="N43" i="1"/>
  <c r="L49" i="1"/>
  <c r="N46" i="1"/>
  <c r="N37" i="1"/>
  <c r="N40" i="1"/>
  <c r="N38" i="1"/>
  <c r="I27" i="1"/>
  <c r="I28" i="1"/>
  <c r="I29" i="1"/>
  <c r="D36" i="1"/>
  <c r="B39" i="1"/>
  <c r="D27" i="1"/>
  <c r="D34" i="1"/>
  <c r="D28" i="1"/>
  <c r="D29" i="1"/>
  <c r="S31" i="1"/>
  <c r="S23" i="1"/>
  <c r="Q33" i="1"/>
  <c r="S21" i="1"/>
  <c r="S22" i="1"/>
  <c r="S27" i="1"/>
  <c r="S26" i="1"/>
  <c r="N27" i="1"/>
  <c r="N25" i="1"/>
  <c r="N22" i="1"/>
  <c r="L33" i="1"/>
  <c r="N21" i="1"/>
  <c r="N24" i="1"/>
  <c r="N31" i="1"/>
  <c r="N29" i="1"/>
  <c r="N9" i="1"/>
  <c r="N8" i="1"/>
  <c r="L16" i="1"/>
  <c r="N11" i="1"/>
  <c r="N4" i="1"/>
  <c r="N5" i="1"/>
  <c r="N13" i="1"/>
  <c r="D39" i="1" l="1"/>
  <c r="S49" i="1"/>
  <c r="N49" i="1"/>
  <c r="I39" i="1"/>
  <c r="S33" i="1"/>
  <c r="N33" i="1"/>
  <c r="N16" i="1"/>
</calcChain>
</file>

<file path=xl/sharedStrings.xml><?xml version="1.0" encoding="utf-8"?>
<sst xmlns="http://schemas.openxmlformats.org/spreadsheetml/2006/main" count="121" uniqueCount="62">
  <si>
    <t>Categoría</t>
  </si>
  <si>
    <t>Valores</t>
  </si>
  <si>
    <t>Bimestre</t>
  </si>
  <si>
    <t>Total General</t>
  </si>
  <si>
    <t>Residencial</t>
  </si>
  <si>
    <t>Comercial</t>
  </si>
  <si>
    <t>Industrial</t>
  </si>
  <si>
    <t>Alumbrado Público</t>
  </si>
  <si>
    <t>Asoc.s/fines de lucro</t>
  </si>
  <si>
    <t>Rural</t>
  </si>
  <si>
    <t>Rural Residencial</t>
  </si>
  <si>
    <t>Rural Residencial Jubilado</t>
  </si>
  <si>
    <t>Total Suma de Clientes</t>
  </si>
  <si>
    <t>Total Suma de Consumo</t>
  </si>
  <si>
    <t>Suma de Clientes</t>
  </si>
  <si>
    <t>Suma de Consumo</t>
  </si>
  <si>
    <t>Autoridades</t>
  </si>
  <si>
    <t>Consumo</t>
  </si>
  <si>
    <t>Mes</t>
  </si>
  <si>
    <t>Total:</t>
  </si>
  <si>
    <t xml:space="preserve">Comercial </t>
  </si>
  <si>
    <t xml:space="preserve">Industrial </t>
  </si>
  <si>
    <t>Rural Total</t>
  </si>
  <si>
    <t>February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</si>
  <si>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</si>
  <si>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</si>
  <si>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</si>
  <si>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</si>
  <si>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</si>
  <si>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</si>
  <si>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</si>
  <si>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</si>
  <si>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</si>
  <si>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</si>
  <si>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</si>
  <si>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</t>
  </si>
  <si>
    <t>Residential</t>
  </si>
  <si>
    <t xml:space="preserve">Commercial </t>
  </si>
  <si>
    <t>Street Lighting</t>
  </si>
  <si>
    <t>NPO</t>
  </si>
  <si>
    <t>Monthly Total</t>
  </si>
  <si>
    <t>Rural (Rural, Residential, Retired)</t>
  </si>
  <si>
    <t xml:space="preserve">Authorities </t>
  </si>
  <si>
    <t xml:space="preserve">Load (kWh) </t>
  </si>
  <si>
    <t xml:space="preserve">Annual Total by Category </t>
  </si>
  <si>
    <t xml:space="preserve">Carga (kWh)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</si>
  <si>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</si>
  <si>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</si>
  <si>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</si>
  <si>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</si>
  <si>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</si>
  <si>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</si>
  <si>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</si>
  <si>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</si>
  <si>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</si>
  <si>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</si>
  <si>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</si>
  <si>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</si>
  <si>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 por Categoría</t>
  </si>
  <si>
    <t>ONG</t>
  </si>
  <si>
    <t>Rural (Rural, Residencial, Jubilados)</t>
  </si>
  <si>
    <t>Total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</si>
</sst>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0" fillId="8" borderId="0" xfId="0" applyFill="1"/>
    <xf numFmtId="0" fontId="0" fillId="6" borderId="0" xfId="0" applyFill="1"/>
    <xf numFmtId="0" fontId="0" fillId="5" borderId="0" xfId="0" applyFill="1"/>
    <xf numFmtId="0" fontId="0" fillId="4" borderId="0" xfId="0" applyFill="1"/>
    <xf numFmtId="0" fontId="0" fillId="3" borderId="0" xfId="0" applyFill="1"/>
    <xf numFmtId="0" fontId="1" fillId="10" borderId="8" xfId="0" applyFont="1" applyFill="1" applyBorder="1"/>
    <xf numFmtId="0" fontId="1" fillId="8" borderId="9" xfId="0" applyFont="1" applyFill="1" applyBorder="1"/>
    <xf numFmtId="0" fontId="1" fillId="6" borderId="9" xfId="0" applyFont="1" applyFill="1" applyBorder="1"/>
    <xf numFmtId="0" fontId="1" fillId="5" borderId="9" xfId="0" applyFont="1" applyFill="1" applyBorder="1"/>
    <xf numFmtId="0" fontId="1" fillId="0" borderId="9" xfId="0" applyFont="1" applyBorder="1"/>
    <xf numFmtId="0" fontId="1" fillId="4" borderId="9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3" borderId="17" xfId="0" applyFont="1" applyFill="1" applyBorder="1"/>
    <xf numFmtId="0" fontId="1" fillId="0" borderId="5" xfId="0" applyFont="1" applyBorder="1"/>
    <xf numFmtId="4" fontId="0" fillId="10" borderId="12" xfId="0" applyNumberFormat="1" applyFill="1" applyBorder="1"/>
    <xf numFmtId="4" fontId="0" fillId="10" borderId="13" xfId="0" applyNumberFormat="1" applyFill="1" applyBorder="1"/>
    <xf numFmtId="4" fontId="0" fillId="10" borderId="21" xfId="0" applyNumberFormat="1" applyFill="1" applyBorder="1"/>
    <xf numFmtId="4" fontId="1" fillId="10" borderId="8" xfId="0" applyNumberFormat="1" applyFont="1" applyFill="1" applyBorder="1"/>
    <xf numFmtId="4" fontId="0" fillId="8" borderId="4" xfId="0" applyNumberFormat="1" applyFill="1" applyBorder="1"/>
    <xf numFmtId="4" fontId="0" fillId="8" borderId="1" xfId="0" applyNumberFormat="1" applyFill="1" applyBorder="1"/>
    <xf numFmtId="4" fontId="0" fillId="8" borderId="2" xfId="0" applyNumberFormat="1" applyFill="1" applyBorder="1"/>
    <xf numFmtId="4" fontId="1" fillId="8" borderId="9" xfId="0" applyNumberFormat="1" applyFont="1" applyFill="1" applyBorder="1"/>
    <xf numFmtId="4" fontId="0" fillId="6" borderId="4" xfId="0" applyNumberFormat="1" applyFill="1" applyBorder="1"/>
    <xf numFmtId="4" fontId="0" fillId="6" borderId="1" xfId="0" applyNumberFormat="1" applyFill="1" applyBorder="1"/>
    <xf numFmtId="4" fontId="0" fillId="6" borderId="2" xfId="0" applyNumberFormat="1" applyFill="1" applyBorder="1"/>
    <xf numFmtId="4" fontId="1" fillId="6" borderId="9" xfId="0" applyNumberFormat="1" applyFont="1" applyFill="1" applyBorder="1"/>
    <xf numFmtId="4" fontId="0" fillId="5" borderId="4" xfId="0" applyNumberFormat="1" applyFill="1" applyBorder="1"/>
    <xf numFmtId="4" fontId="0" fillId="5" borderId="1" xfId="0" applyNumberFormat="1" applyFill="1" applyBorder="1"/>
    <xf numFmtId="4" fontId="0" fillId="5" borderId="2" xfId="0" applyNumberFormat="1" applyFill="1" applyBorder="1"/>
    <xf numFmtId="4" fontId="1" fillId="5" borderId="9" xfId="0" applyNumberFormat="1" applyFont="1" applyFill="1" applyBorder="1"/>
    <xf numFmtId="4" fontId="0" fillId="0" borderId="4" xfId="0" applyNumberFormat="1" applyBorder="1"/>
    <xf numFmtId="4" fontId="0" fillId="0" borderId="1" xfId="0" applyNumberFormat="1" applyBorder="1"/>
    <xf numFmtId="4" fontId="0" fillId="0" borderId="2" xfId="0" applyNumberFormat="1" applyBorder="1"/>
    <xf numFmtId="4" fontId="1" fillId="0" borderId="9" xfId="0" applyNumberFormat="1" applyFont="1" applyBorder="1"/>
    <xf numFmtId="4" fontId="0" fillId="4" borderId="4" xfId="0" applyNumberFormat="1" applyFill="1" applyBorder="1"/>
    <xf numFmtId="4" fontId="0" fillId="4" borderId="1" xfId="0" applyNumberFormat="1" applyFill="1" applyBorder="1"/>
    <xf numFmtId="4" fontId="0" fillId="4" borderId="2" xfId="0" applyNumberFormat="1" applyFill="1" applyBorder="1"/>
    <xf numFmtId="4" fontId="1" fillId="4" borderId="9" xfId="0" applyNumberFormat="1" applyFont="1" applyFill="1" applyBorder="1"/>
    <xf numFmtId="4" fontId="0" fillId="3" borderId="18" xfId="0" applyNumberFormat="1" applyFill="1" applyBorder="1"/>
    <xf numFmtId="4" fontId="0" fillId="3" borderId="19" xfId="0" applyNumberFormat="1" applyFill="1" applyBorder="1"/>
    <xf numFmtId="4" fontId="0" fillId="3" borderId="22" xfId="0" applyNumberFormat="1" applyFill="1" applyBorder="1"/>
    <xf numFmtId="4" fontId="1" fillId="3" borderId="17" xfId="0" applyNumberFormat="1" applyFont="1" applyFill="1" applyBorder="1"/>
    <xf numFmtId="4" fontId="1" fillId="0" borderId="20" xfId="0" applyNumberFormat="1" applyFont="1" applyBorder="1"/>
    <xf numFmtId="4" fontId="1" fillId="0" borderId="15" xfId="0" applyNumberFormat="1" applyFont="1" applyBorder="1"/>
    <xf numFmtId="4" fontId="1" fillId="0" borderId="23" xfId="0" applyNumberFormat="1" applyFont="1" applyBorder="1"/>
    <xf numFmtId="4" fontId="1" fillId="2" borderId="5" xfId="0" applyNumberFormat="1" applyFon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</a:t>
            </a:r>
            <a:r>
              <a:rPr lang="es-ES" baseline="0"/>
              <a:t> Residencial 2023 (kWh)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Hoja1!$N$4:$N$15</c:f>
              <c:numCache>
                <c:formatCode>#,##0</c:formatCode>
                <c:ptCount val="12"/>
                <c:pt idx="0">
                  <c:v>47775</c:v>
                </c:pt>
                <c:pt idx="1">
                  <c:v>61871</c:v>
                </c:pt>
                <c:pt idx="2">
                  <c:v>65931.75</c:v>
                </c:pt>
                <c:pt idx="3">
                  <c:v>69992.5</c:v>
                </c:pt>
                <c:pt idx="4">
                  <c:v>61826.25</c:v>
                </c:pt>
                <c:pt idx="5">
                  <c:v>53660</c:v>
                </c:pt>
                <c:pt idx="6">
                  <c:v>52834.5</c:v>
                </c:pt>
                <c:pt idx="7">
                  <c:v>52009</c:v>
                </c:pt>
                <c:pt idx="8">
                  <c:v>48962.5</c:v>
                </c:pt>
                <c:pt idx="9">
                  <c:v>45916</c:v>
                </c:pt>
                <c:pt idx="10">
                  <c:v>39797.5</c:v>
                </c:pt>
                <c:pt idx="11">
                  <c:v>33679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8-42AE-B157-0FE8A9858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71169840"/>
        <c:axId val="1371174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Hoja1!$M$4:$M$15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F28-42AE-B157-0FE8A98586CA}"/>
                  </c:ext>
                </c:extLst>
              </c15:ser>
            </c15:filteredBarSeries>
          </c:ext>
        </c:extLst>
      </c:barChart>
      <c:catAx>
        <c:axId val="137116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1174000"/>
        <c:crosses val="autoZero"/>
        <c:auto val="1"/>
        <c:lblAlgn val="ctr"/>
        <c:lblOffset val="100"/>
        <c:noMultiLvlLbl val="0"/>
      </c:catAx>
      <c:valAx>
        <c:axId val="137117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11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348690</xdr:colOff>
      <xdr:row>1</xdr:row>
      <xdr:rowOff>72092</xdr:rowOff>
    </xdr:from>
    <xdr:to>
      <xdr:col>21</xdr:col>
      <xdr:colOff>431240</xdr:colOff>
      <xdr:row>16</xdr:row>
      <xdr:rowOff>53042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76</xdr:row>
      <xdr:rowOff>0</xdr:rowOff>
    </xdr:from>
    <xdr:to>
      <xdr:col>17</xdr:col>
      <xdr:colOff>236220</xdr:colOff>
      <xdr:row>86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2E9E1E-20D3-755D-51CB-0B6ED21B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980" y="13975080"/>
          <a:ext cx="125501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A52" zoomScale="85" zoomScaleNormal="85" workbookViewId="0">
      <selection activeCell="A77" sqref="A77"/>
    </sheetView>
  </sheetViews>
  <sheetFormatPr baseColWidth="10" defaultColWidth="9.21875" defaultRowHeight="14.4" x14ac:dyDescent="0.3"/>
  <cols>
    <col min="1" max="1" width="31" bestFit="1" customWidth="1"/>
    <col min="2" max="2" width="11.21875" customWidth="1"/>
    <col min="3" max="3" width="10.33203125" bestFit="1" customWidth="1"/>
    <col min="4" max="4" width="10.6640625" customWidth="1"/>
    <col min="5" max="5" width="11.21875" customWidth="1"/>
    <col min="6" max="7" width="10.33203125" bestFit="1" customWidth="1"/>
    <col min="8" max="8" width="10.21875" customWidth="1"/>
    <col min="9" max="9" width="10" customWidth="1"/>
    <col min="10" max="10" width="10.77734375" bestFit="1" customWidth="1"/>
    <col min="11" max="11" width="10.33203125" bestFit="1" customWidth="1"/>
    <col min="12" max="12" width="10.44140625" bestFit="1" customWidth="1"/>
    <col min="13" max="13" width="10.33203125" bestFit="1" customWidth="1"/>
    <col min="14" max="14" width="25.6640625" bestFit="1" customWidth="1"/>
  </cols>
  <sheetData>
    <row r="1" spans="1:14" x14ac:dyDescent="0.3">
      <c r="A1" s="1"/>
      <c r="B1" s="1"/>
      <c r="C1" s="83" t="s">
        <v>2</v>
      </c>
      <c r="D1" s="83"/>
      <c r="E1" s="83"/>
      <c r="F1" s="83"/>
      <c r="G1" s="83"/>
      <c r="H1" s="83"/>
      <c r="I1" s="1"/>
    </row>
    <row r="2" spans="1:14" x14ac:dyDescent="0.3">
      <c r="A2" s="2" t="s">
        <v>0</v>
      </c>
      <c r="B2" s="2" t="s">
        <v>1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 t="s">
        <v>3</v>
      </c>
      <c r="K2" s="84" t="s">
        <v>4</v>
      </c>
      <c r="L2" s="85"/>
      <c r="M2" s="85"/>
      <c r="N2" s="86"/>
    </row>
    <row r="3" spans="1:14" x14ac:dyDescent="0.3">
      <c r="A3" s="23" t="s">
        <v>4</v>
      </c>
      <c r="B3" s="23" t="s">
        <v>14</v>
      </c>
      <c r="C3" s="23">
        <v>290</v>
      </c>
      <c r="D3" s="23">
        <v>310</v>
      </c>
      <c r="E3" s="23">
        <v>325</v>
      </c>
      <c r="F3" s="23">
        <v>326</v>
      </c>
      <c r="G3" s="23">
        <v>327</v>
      </c>
      <c r="H3" s="23">
        <v>331</v>
      </c>
      <c r="I3" s="23"/>
      <c r="K3" s="23" t="s">
        <v>2</v>
      </c>
      <c r="L3" s="23" t="s">
        <v>17</v>
      </c>
      <c r="M3" s="23" t="s">
        <v>18</v>
      </c>
      <c r="N3" s="23" t="s">
        <v>17</v>
      </c>
    </row>
    <row r="4" spans="1:14" x14ac:dyDescent="0.3">
      <c r="A4" s="23"/>
      <c r="B4" s="24" t="s">
        <v>15</v>
      </c>
      <c r="C4" s="25">
        <v>123742</v>
      </c>
      <c r="D4" s="25">
        <v>139985</v>
      </c>
      <c r="E4" s="25">
        <v>107320</v>
      </c>
      <c r="F4" s="25">
        <v>104018</v>
      </c>
      <c r="G4" s="25">
        <v>91832</v>
      </c>
      <c r="H4" s="25">
        <v>67358</v>
      </c>
      <c r="I4" s="25">
        <v>634255</v>
      </c>
      <c r="K4" s="27"/>
      <c r="L4" s="27"/>
      <c r="M4" s="27">
        <v>1</v>
      </c>
      <c r="N4" s="29">
        <f>+L5/4+L15/4</f>
        <v>47775</v>
      </c>
    </row>
    <row r="5" spans="1:14" x14ac:dyDescent="0.3">
      <c r="A5" s="20" t="s">
        <v>5</v>
      </c>
      <c r="B5" s="20" t="s">
        <v>14</v>
      </c>
      <c r="C5" s="20">
        <v>2</v>
      </c>
      <c r="D5" s="20">
        <v>2</v>
      </c>
      <c r="E5" s="20">
        <v>2</v>
      </c>
      <c r="F5" s="20">
        <v>4</v>
      </c>
      <c r="G5" s="20">
        <v>4</v>
      </c>
      <c r="H5" s="20">
        <v>4</v>
      </c>
      <c r="I5" s="20"/>
      <c r="K5" s="28">
        <v>1</v>
      </c>
      <c r="L5" s="29">
        <f>+C4</f>
        <v>123742</v>
      </c>
      <c r="M5" s="27">
        <f>+M4+1</f>
        <v>2</v>
      </c>
      <c r="N5" s="29">
        <f>+L5/2</f>
        <v>61871</v>
      </c>
    </row>
    <row r="6" spans="1:14" x14ac:dyDescent="0.3">
      <c r="A6" s="20"/>
      <c r="B6" s="21" t="s">
        <v>15</v>
      </c>
      <c r="C6" s="22">
        <v>3335</v>
      </c>
      <c r="D6" s="22">
        <v>2760</v>
      </c>
      <c r="E6" s="22">
        <v>2196</v>
      </c>
      <c r="F6" s="22">
        <v>4575</v>
      </c>
      <c r="G6" s="22">
        <v>7890</v>
      </c>
      <c r="H6" s="22">
        <v>8607</v>
      </c>
      <c r="I6" s="22">
        <v>29363</v>
      </c>
      <c r="K6" s="27"/>
      <c r="L6" s="27"/>
      <c r="M6" s="27">
        <f>+M5+1</f>
        <v>3</v>
      </c>
      <c r="N6" s="29">
        <f>+L5/4+L7/4</f>
        <v>65931.75</v>
      </c>
    </row>
    <row r="7" spans="1:14" x14ac:dyDescent="0.3">
      <c r="A7" s="15" t="s">
        <v>6</v>
      </c>
      <c r="B7" s="15" t="s">
        <v>14</v>
      </c>
      <c r="C7" s="15">
        <v>1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6"/>
      <c r="K7" s="28">
        <v>2</v>
      </c>
      <c r="L7" s="29">
        <f>+D4</f>
        <v>139985</v>
      </c>
      <c r="M7" s="27">
        <f t="shared" ref="M7:M15" si="0">+M6+1</f>
        <v>4</v>
      </c>
      <c r="N7" s="29">
        <f>+L7/2</f>
        <v>69992.5</v>
      </c>
    </row>
    <row r="8" spans="1:14" x14ac:dyDescent="0.3">
      <c r="A8" s="15"/>
      <c r="B8" s="16" t="s">
        <v>15</v>
      </c>
      <c r="C8" s="17">
        <v>18014</v>
      </c>
      <c r="D8" s="17">
        <v>16749</v>
      </c>
      <c r="E8" s="17">
        <v>14569</v>
      </c>
      <c r="F8" s="17">
        <v>11867</v>
      </c>
      <c r="G8" s="17">
        <v>11225</v>
      </c>
      <c r="H8" s="17">
        <v>10430</v>
      </c>
      <c r="I8" s="17">
        <v>82854</v>
      </c>
      <c r="K8" s="27"/>
      <c r="L8" s="27"/>
      <c r="M8" s="27">
        <f t="shared" si="0"/>
        <v>5</v>
      </c>
      <c r="N8" s="29">
        <f>+L7/4+L9/4</f>
        <v>61826.25</v>
      </c>
    </row>
    <row r="9" spans="1:14" x14ac:dyDescent="0.3">
      <c r="A9" s="12" t="s">
        <v>7</v>
      </c>
      <c r="B9" s="12" t="s">
        <v>14</v>
      </c>
      <c r="C9" s="12">
        <v>9</v>
      </c>
      <c r="D9" s="12">
        <v>9</v>
      </c>
      <c r="E9" s="12">
        <v>9</v>
      </c>
      <c r="F9" s="12">
        <v>11</v>
      </c>
      <c r="G9" s="12">
        <v>11</v>
      </c>
      <c r="H9" s="12">
        <v>11</v>
      </c>
      <c r="I9" s="12"/>
      <c r="K9" s="28">
        <v>3</v>
      </c>
      <c r="L9" s="29">
        <f>+E4</f>
        <v>107320</v>
      </c>
      <c r="M9" s="27">
        <f t="shared" si="0"/>
        <v>6</v>
      </c>
      <c r="N9" s="29">
        <f>+L9/2</f>
        <v>53660</v>
      </c>
    </row>
    <row r="10" spans="1:14" x14ac:dyDescent="0.3">
      <c r="A10" s="12"/>
      <c r="B10" s="13" t="s">
        <v>15</v>
      </c>
      <c r="C10" s="14">
        <v>15534</v>
      </c>
      <c r="D10" s="14">
        <v>15292</v>
      </c>
      <c r="E10" s="14">
        <v>15137</v>
      </c>
      <c r="F10" s="14">
        <v>15282</v>
      </c>
      <c r="G10" s="14">
        <v>15353</v>
      </c>
      <c r="H10" s="14">
        <v>15359</v>
      </c>
      <c r="I10" s="14">
        <v>91957</v>
      </c>
      <c r="K10" s="27"/>
      <c r="L10" s="27"/>
      <c r="M10" s="27">
        <f t="shared" si="0"/>
        <v>7</v>
      </c>
      <c r="N10" s="29">
        <f>+L9/4+L11/4</f>
        <v>52834.5</v>
      </c>
    </row>
    <row r="11" spans="1:14" x14ac:dyDescent="0.3">
      <c r="A11" s="18" t="s">
        <v>8</v>
      </c>
      <c r="B11" s="18" t="s">
        <v>14</v>
      </c>
      <c r="C11" s="18">
        <v>1</v>
      </c>
      <c r="D11" s="18">
        <v>1</v>
      </c>
      <c r="E11" s="18">
        <v>1</v>
      </c>
      <c r="F11" s="18">
        <v>1</v>
      </c>
      <c r="G11" s="18">
        <v>1</v>
      </c>
      <c r="H11" s="18">
        <v>1</v>
      </c>
      <c r="I11" s="19"/>
      <c r="K11" s="28">
        <v>4</v>
      </c>
      <c r="L11" s="29">
        <f>+F4</f>
        <v>104018</v>
      </c>
      <c r="M11" s="27">
        <f t="shared" si="0"/>
        <v>8</v>
      </c>
      <c r="N11" s="29">
        <f>+L11/2</f>
        <v>52009</v>
      </c>
    </row>
    <row r="12" spans="1:14" x14ac:dyDescent="0.3">
      <c r="A12" s="18"/>
      <c r="B12" s="19" t="s">
        <v>15</v>
      </c>
      <c r="C12" s="19">
        <v>35</v>
      </c>
      <c r="D12" s="19">
        <v>43</v>
      </c>
      <c r="E12" s="19">
        <v>39</v>
      </c>
      <c r="F12" s="19">
        <v>59</v>
      </c>
      <c r="G12" s="19">
        <v>53</v>
      </c>
      <c r="H12" s="19">
        <v>44</v>
      </c>
      <c r="I12" s="19">
        <v>273</v>
      </c>
      <c r="K12" s="27"/>
      <c r="L12" s="27"/>
      <c r="M12" s="27">
        <f t="shared" si="0"/>
        <v>9</v>
      </c>
      <c r="N12" s="29">
        <f>+L11/4+L13/4</f>
        <v>48962.5</v>
      </c>
    </row>
    <row r="13" spans="1:14" x14ac:dyDescent="0.3">
      <c r="A13" s="10" t="s">
        <v>16</v>
      </c>
      <c r="B13" s="10" t="s">
        <v>14</v>
      </c>
      <c r="C13" s="10">
        <v>4</v>
      </c>
      <c r="D13" s="10">
        <v>4</v>
      </c>
      <c r="E13" s="10">
        <v>4</v>
      </c>
      <c r="F13" s="10">
        <v>4</v>
      </c>
      <c r="G13" s="10">
        <v>5</v>
      </c>
      <c r="H13" s="10">
        <v>5</v>
      </c>
      <c r="I13" s="11"/>
      <c r="K13" s="28">
        <v>5</v>
      </c>
      <c r="L13" s="29">
        <f>+G4</f>
        <v>91832</v>
      </c>
      <c r="M13" s="27">
        <f t="shared" si="0"/>
        <v>10</v>
      </c>
      <c r="N13" s="29">
        <f>+L13/2</f>
        <v>45916</v>
      </c>
    </row>
    <row r="14" spans="1:14" x14ac:dyDescent="0.3">
      <c r="A14" s="10"/>
      <c r="B14" s="11" t="s">
        <v>15</v>
      </c>
      <c r="C14" s="26">
        <v>1760</v>
      </c>
      <c r="D14" s="26">
        <v>1768</v>
      </c>
      <c r="E14" s="26">
        <v>2274</v>
      </c>
      <c r="F14" s="26">
        <v>3513</v>
      </c>
      <c r="G14" s="26">
        <v>7769</v>
      </c>
      <c r="H14" s="26">
        <v>5559</v>
      </c>
      <c r="I14" s="26">
        <v>22643</v>
      </c>
      <c r="K14" s="27"/>
      <c r="L14" s="27"/>
      <c r="M14" s="27">
        <f t="shared" si="0"/>
        <v>11</v>
      </c>
      <c r="N14" s="29">
        <f>+L13/4+L15/4</f>
        <v>39797.5</v>
      </c>
    </row>
    <row r="15" spans="1:14" x14ac:dyDescent="0.3">
      <c r="A15" s="7" t="s">
        <v>9</v>
      </c>
      <c r="B15" s="7" t="s">
        <v>14</v>
      </c>
      <c r="C15" s="7">
        <v>31</v>
      </c>
      <c r="D15" s="7">
        <v>33</v>
      </c>
      <c r="E15" s="7">
        <v>31</v>
      </c>
      <c r="F15" s="7">
        <v>32</v>
      </c>
      <c r="G15" s="7">
        <v>32</v>
      </c>
      <c r="H15" s="7">
        <v>32</v>
      </c>
      <c r="I15" s="8"/>
      <c r="K15" s="28">
        <v>6</v>
      </c>
      <c r="L15" s="29">
        <f>+H4</f>
        <v>67358</v>
      </c>
      <c r="M15" s="27">
        <f t="shared" si="0"/>
        <v>12</v>
      </c>
      <c r="N15" s="29">
        <f>+L15/2</f>
        <v>33679</v>
      </c>
    </row>
    <row r="16" spans="1:14" x14ac:dyDescent="0.3">
      <c r="A16" s="7"/>
      <c r="B16" s="8" t="s">
        <v>15</v>
      </c>
      <c r="C16" s="9">
        <v>83382</v>
      </c>
      <c r="D16" s="9">
        <v>89182</v>
      </c>
      <c r="E16" s="9">
        <v>81041</v>
      </c>
      <c r="F16" s="9">
        <v>82454</v>
      </c>
      <c r="G16" s="9">
        <v>76548</v>
      </c>
      <c r="H16" s="9">
        <v>92426</v>
      </c>
      <c r="I16" s="9">
        <v>505033</v>
      </c>
      <c r="K16" s="27" t="s">
        <v>19</v>
      </c>
      <c r="L16" s="29">
        <f>SUM(L5:L15)</f>
        <v>634255</v>
      </c>
      <c r="M16" s="27"/>
      <c r="N16" s="29">
        <f>SUM(N4:N15)</f>
        <v>634255</v>
      </c>
    </row>
    <row r="17" spans="1:19" x14ac:dyDescent="0.3">
      <c r="A17" s="7" t="s">
        <v>10</v>
      </c>
      <c r="B17" s="7" t="s">
        <v>14</v>
      </c>
      <c r="C17" s="7">
        <v>34</v>
      </c>
      <c r="D17" s="7">
        <v>32</v>
      </c>
      <c r="E17" s="7">
        <v>33</v>
      </c>
      <c r="F17" s="7">
        <v>33</v>
      </c>
      <c r="G17" s="7">
        <v>31</v>
      </c>
      <c r="H17" s="7">
        <v>31</v>
      </c>
      <c r="I17" s="8"/>
    </row>
    <row r="18" spans="1:19" x14ac:dyDescent="0.3">
      <c r="A18" s="7"/>
      <c r="B18" s="8" t="s">
        <v>15</v>
      </c>
      <c r="C18" s="9">
        <v>24468</v>
      </c>
      <c r="D18" s="9">
        <v>24290</v>
      </c>
      <c r="E18" s="9">
        <v>19720</v>
      </c>
      <c r="F18" s="9">
        <v>17122</v>
      </c>
      <c r="G18" s="9">
        <v>15285</v>
      </c>
      <c r="H18" s="9">
        <v>16998</v>
      </c>
      <c r="I18" s="9">
        <v>117883</v>
      </c>
    </row>
    <row r="19" spans="1:19" x14ac:dyDescent="0.3">
      <c r="A19" s="7" t="s">
        <v>11</v>
      </c>
      <c r="B19" s="7" t="s">
        <v>14</v>
      </c>
      <c r="C19" s="8">
        <v>0</v>
      </c>
      <c r="D19" s="8">
        <v>0</v>
      </c>
      <c r="E19" s="8">
        <v>1</v>
      </c>
      <c r="F19" s="8">
        <v>0</v>
      </c>
      <c r="G19" s="8">
        <v>1</v>
      </c>
      <c r="H19" s="8">
        <v>1</v>
      </c>
      <c r="I19" s="8"/>
      <c r="K19" s="31" t="s">
        <v>20</v>
      </c>
      <c r="L19" s="31"/>
      <c r="M19" s="31"/>
      <c r="N19" s="31"/>
      <c r="P19" s="32" t="s">
        <v>21</v>
      </c>
      <c r="Q19" s="32"/>
      <c r="R19" s="32"/>
      <c r="S19" s="32"/>
    </row>
    <row r="20" spans="1:19" x14ac:dyDescent="0.3">
      <c r="A20" s="7"/>
      <c r="B20" s="8" t="s">
        <v>15</v>
      </c>
      <c r="C20" s="8"/>
      <c r="D20" s="8"/>
      <c r="E20" s="8">
        <v>0</v>
      </c>
      <c r="F20" s="8"/>
      <c r="G20" s="8">
        <v>253</v>
      </c>
      <c r="H20" s="8">
        <v>0</v>
      </c>
      <c r="I20" s="8">
        <v>253</v>
      </c>
      <c r="K20" s="31" t="s">
        <v>2</v>
      </c>
      <c r="L20" s="31" t="s">
        <v>17</v>
      </c>
      <c r="M20" s="31" t="s">
        <v>18</v>
      </c>
      <c r="N20" s="31" t="s">
        <v>17</v>
      </c>
      <c r="P20" s="32" t="s">
        <v>2</v>
      </c>
      <c r="Q20" s="32" t="s">
        <v>17</v>
      </c>
      <c r="R20" s="32" t="s">
        <v>18</v>
      </c>
      <c r="S20" s="32" t="s">
        <v>17</v>
      </c>
    </row>
    <row r="21" spans="1:19" x14ac:dyDescent="0.3">
      <c r="A21" s="4" t="s">
        <v>12</v>
      </c>
      <c r="B21" s="4"/>
      <c r="C21" s="4">
        <v>372</v>
      </c>
      <c r="D21" s="4">
        <v>392</v>
      </c>
      <c r="E21" s="4">
        <v>407</v>
      </c>
      <c r="F21" s="4">
        <v>412</v>
      </c>
      <c r="G21" s="4">
        <v>413</v>
      </c>
      <c r="H21" s="4">
        <v>417</v>
      </c>
      <c r="I21" s="5"/>
      <c r="M21">
        <v>1</v>
      </c>
      <c r="N21">
        <f>+L22/4+L32/4</f>
        <v>2985.5</v>
      </c>
      <c r="R21">
        <v>1</v>
      </c>
      <c r="S21">
        <f>+Q22/4+Q32/4</f>
        <v>7111</v>
      </c>
    </row>
    <row r="22" spans="1:19" x14ac:dyDescent="0.3">
      <c r="A22" s="4" t="s">
        <v>13</v>
      </c>
      <c r="B22" s="4"/>
      <c r="C22" s="6">
        <v>270270</v>
      </c>
      <c r="D22" s="6">
        <v>290069</v>
      </c>
      <c r="E22" s="6">
        <v>242296</v>
      </c>
      <c r="F22" s="6">
        <v>238890</v>
      </c>
      <c r="G22" s="6">
        <v>226208</v>
      </c>
      <c r="H22" s="6">
        <v>216781</v>
      </c>
      <c r="I22" s="6">
        <v>1484514</v>
      </c>
      <c r="J22" s="3"/>
      <c r="K22" s="3">
        <v>1</v>
      </c>
      <c r="L22" s="30">
        <f>C6</f>
        <v>3335</v>
      </c>
      <c r="M22">
        <f>+M21+1</f>
        <v>2</v>
      </c>
      <c r="N22">
        <f>+L22/2</f>
        <v>1667.5</v>
      </c>
      <c r="P22">
        <v>1</v>
      </c>
      <c r="Q22" s="30">
        <f>C8</f>
        <v>18014</v>
      </c>
      <c r="R22">
        <f>+R21+1</f>
        <v>2</v>
      </c>
      <c r="S22">
        <f>+Q22/2</f>
        <v>9007</v>
      </c>
    </row>
    <row r="23" spans="1:19" x14ac:dyDescent="0.3">
      <c r="M23">
        <f t="shared" ref="M23:M32" si="1">+M22+1</f>
        <v>3</v>
      </c>
      <c r="N23">
        <f>+L22/4+L24/4</f>
        <v>1523.75</v>
      </c>
      <c r="R23">
        <f t="shared" ref="R23:R32" si="2">+R22+1</f>
        <v>3</v>
      </c>
      <c r="S23">
        <f>+Q22/4+Q24/4</f>
        <v>8690.75</v>
      </c>
    </row>
    <row r="24" spans="1:19" x14ac:dyDescent="0.3">
      <c r="K24">
        <v>2</v>
      </c>
      <c r="L24" s="30">
        <f>D6</f>
        <v>2760</v>
      </c>
      <c r="M24">
        <f t="shared" si="1"/>
        <v>4</v>
      </c>
      <c r="N24">
        <f>+L24/2</f>
        <v>1380</v>
      </c>
      <c r="P24">
        <v>2</v>
      </c>
      <c r="Q24" s="30">
        <f>D8</f>
        <v>16749</v>
      </c>
      <c r="R24">
        <f t="shared" si="2"/>
        <v>4</v>
      </c>
      <c r="S24">
        <f>+Q24/2</f>
        <v>8374.5</v>
      </c>
    </row>
    <row r="25" spans="1:19" x14ac:dyDescent="0.3">
      <c r="A25" s="33" t="s">
        <v>7</v>
      </c>
      <c r="B25" s="33"/>
      <c r="C25" s="33"/>
      <c r="D25" s="33"/>
      <c r="F25" t="s">
        <v>8</v>
      </c>
      <c r="M25">
        <f t="shared" si="1"/>
        <v>5</v>
      </c>
      <c r="N25">
        <f>+L24/4+L26/4</f>
        <v>1239</v>
      </c>
      <c r="R25">
        <f t="shared" si="2"/>
        <v>5</v>
      </c>
      <c r="S25">
        <f>+Q24/4+Q26/4</f>
        <v>7829.5</v>
      </c>
    </row>
    <row r="26" spans="1:19" x14ac:dyDescent="0.3">
      <c r="A26" s="33" t="s">
        <v>2</v>
      </c>
      <c r="B26" s="33" t="s">
        <v>17</v>
      </c>
      <c r="C26" s="33" t="s">
        <v>18</v>
      </c>
      <c r="D26" s="33" t="s">
        <v>17</v>
      </c>
      <c r="F26" t="s">
        <v>2</v>
      </c>
      <c r="G26" t="s">
        <v>17</v>
      </c>
      <c r="H26" t="s">
        <v>18</v>
      </c>
      <c r="I26" t="s">
        <v>17</v>
      </c>
      <c r="K26">
        <v>3</v>
      </c>
      <c r="L26" s="30">
        <f>E6</f>
        <v>2196</v>
      </c>
      <c r="M26">
        <f t="shared" si="1"/>
        <v>6</v>
      </c>
      <c r="N26">
        <f>+L26/2</f>
        <v>1098</v>
      </c>
      <c r="P26">
        <v>3</v>
      </c>
      <c r="Q26" s="30">
        <f>E8</f>
        <v>14569</v>
      </c>
      <c r="R26">
        <f t="shared" si="2"/>
        <v>6</v>
      </c>
      <c r="S26">
        <f>+Q26/2</f>
        <v>7284.5</v>
      </c>
    </row>
    <row r="27" spans="1:19" x14ac:dyDescent="0.3">
      <c r="C27">
        <v>1</v>
      </c>
      <c r="D27">
        <f>+B28/4+B38/4</f>
        <v>7723.25</v>
      </c>
      <c r="H27">
        <v>1</v>
      </c>
      <c r="I27">
        <f>+G28/4+G38/4</f>
        <v>19.75</v>
      </c>
      <c r="M27">
        <f t="shared" si="1"/>
        <v>7</v>
      </c>
      <c r="N27">
        <f>+L26/4+L28/4</f>
        <v>1692.75</v>
      </c>
      <c r="R27">
        <f t="shared" si="2"/>
        <v>7</v>
      </c>
      <c r="S27">
        <f>+Q26/4+Q28/4</f>
        <v>6609</v>
      </c>
    </row>
    <row r="28" spans="1:19" x14ac:dyDescent="0.3">
      <c r="A28">
        <v>1</v>
      </c>
      <c r="B28" s="30">
        <f>C10</f>
        <v>15534</v>
      </c>
      <c r="C28">
        <f t="shared" ref="C28:C38" si="3">+C27+1</f>
        <v>2</v>
      </c>
      <c r="D28">
        <f>+B28/2</f>
        <v>7767</v>
      </c>
      <c r="F28">
        <v>1</v>
      </c>
      <c r="G28">
        <f>C12</f>
        <v>35</v>
      </c>
      <c r="H28">
        <f>+H27+1</f>
        <v>2</v>
      </c>
      <c r="I28">
        <f>+G28/2</f>
        <v>17.5</v>
      </c>
      <c r="K28">
        <v>4</v>
      </c>
      <c r="L28" s="30">
        <f>F6</f>
        <v>4575</v>
      </c>
      <c r="M28">
        <f t="shared" si="1"/>
        <v>8</v>
      </c>
      <c r="N28">
        <f>+L28/2</f>
        <v>2287.5</v>
      </c>
      <c r="P28">
        <v>4</v>
      </c>
      <c r="Q28" s="30">
        <f>F8</f>
        <v>11867</v>
      </c>
      <c r="R28">
        <f t="shared" si="2"/>
        <v>8</v>
      </c>
      <c r="S28">
        <f>+Q28/2</f>
        <v>5933.5</v>
      </c>
    </row>
    <row r="29" spans="1:19" x14ac:dyDescent="0.3">
      <c r="C29">
        <f t="shared" si="3"/>
        <v>3</v>
      </c>
      <c r="D29">
        <f>+B28/4+B30/4</f>
        <v>7706.5</v>
      </c>
      <c r="H29">
        <f t="shared" ref="H29:H38" si="4">+H28+1</f>
        <v>3</v>
      </c>
      <c r="I29">
        <f>+G28/4+G30/4</f>
        <v>19.5</v>
      </c>
      <c r="M29">
        <f t="shared" si="1"/>
        <v>9</v>
      </c>
      <c r="N29">
        <f>+L28/4+L30/4</f>
        <v>3116.25</v>
      </c>
      <c r="R29">
        <f t="shared" si="2"/>
        <v>9</v>
      </c>
      <c r="S29">
        <f>+Q28/4+Q30/4</f>
        <v>5773</v>
      </c>
    </row>
    <row r="30" spans="1:19" x14ac:dyDescent="0.3">
      <c r="A30">
        <v>2</v>
      </c>
      <c r="B30" s="30">
        <f>D10</f>
        <v>15292</v>
      </c>
      <c r="C30">
        <f t="shared" si="3"/>
        <v>4</v>
      </c>
      <c r="D30">
        <f>+B30/2</f>
        <v>7646</v>
      </c>
      <c r="F30">
        <v>2</v>
      </c>
      <c r="G30">
        <f>D12</f>
        <v>43</v>
      </c>
      <c r="H30">
        <f t="shared" si="4"/>
        <v>4</v>
      </c>
      <c r="I30">
        <f>+G30/2</f>
        <v>21.5</v>
      </c>
      <c r="K30">
        <v>5</v>
      </c>
      <c r="L30" s="30">
        <f>G6</f>
        <v>7890</v>
      </c>
      <c r="M30">
        <f t="shared" si="1"/>
        <v>10</v>
      </c>
      <c r="N30">
        <f>+L30/2</f>
        <v>3945</v>
      </c>
      <c r="P30">
        <v>5</v>
      </c>
      <c r="Q30" s="30">
        <f>G8</f>
        <v>11225</v>
      </c>
      <c r="R30">
        <f t="shared" si="2"/>
        <v>10</v>
      </c>
      <c r="S30">
        <f>+Q30/2</f>
        <v>5612.5</v>
      </c>
    </row>
    <row r="31" spans="1:19" x14ac:dyDescent="0.3">
      <c r="C31">
        <f t="shared" si="3"/>
        <v>5</v>
      </c>
      <c r="D31">
        <f>+B30/4+B32/4</f>
        <v>7607.25</v>
      </c>
      <c r="H31">
        <f t="shared" si="4"/>
        <v>5</v>
      </c>
      <c r="I31">
        <f>+G30/4+G32/4</f>
        <v>20.5</v>
      </c>
      <c r="M31">
        <f t="shared" si="1"/>
        <v>11</v>
      </c>
      <c r="N31">
        <f>+L30/4+L32/4</f>
        <v>4124.25</v>
      </c>
      <c r="R31">
        <f t="shared" si="2"/>
        <v>11</v>
      </c>
      <c r="S31">
        <f>+Q30/4+Q32/4</f>
        <v>5413.75</v>
      </c>
    </row>
    <row r="32" spans="1:19" x14ac:dyDescent="0.3">
      <c r="A32">
        <v>3</v>
      </c>
      <c r="B32" s="30">
        <f>E10</f>
        <v>15137</v>
      </c>
      <c r="C32">
        <f t="shared" si="3"/>
        <v>6</v>
      </c>
      <c r="D32">
        <f>+B32/2</f>
        <v>7568.5</v>
      </c>
      <c r="F32">
        <v>3</v>
      </c>
      <c r="G32">
        <f>E12</f>
        <v>39</v>
      </c>
      <c r="H32">
        <f t="shared" si="4"/>
        <v>6</v>
      </c>
      <c r="I32">
        <f>+G32/2</f>
        <v>19.5</v>
      </c>
      <c r="K32">
        <v>6</v>
      </c>
      <c r="L32" s="30">
        <f>H6</f>
        <v>8607</v>
      </c>
      <c r="M32">
        <f t="shared" si="1"/>
        <v>12</v>
      </c>
      <c r="N32">
        <f>+L32/2</f>
        <v>4303.5</v>
      </c>
      <c r="P32">
        <v>6</v>
      </c>
      <c r="Q32" s="30">
        <f>H8</f>
        <v>10430</v>
      </c>
      <c r="R32">
        <f t="shared" si="2"/>
        <v>12</v>
      </c>
      <c r="S32">
        <f>+Q32/2</f>
        <v>5215</v>
      </c>
    </row>
    <row r="33" spans="1:19" x14ac:dyDescent="0.3">
      <c r="C33">
        <f t="shared" si="3"/>
        <v>7</v>
      </c>
      <c r="D33">
        <f>+B32/4+B34/4</f>
        <v>7604.75</v>
      </c>
      <c r="H33">
        <f t="shared" si="4"/>
        <v>7</v>
      </c>
      <c r="I33">
        <f>+G32/4+G34/4</f>
        <v>24.5</v>
      </c>
      <c r="K33" t="s">
        <v>19</v>
      </c>
      <c r="L33">
        <f>SUM(L22:L32)</f>
        <v>29363</v>
      </c>
      <c r="N33">
        <f>SUM(N21:N32)</f>
        <v>29363</v>
      </c>
      <c r="P33" t="s">
        <v>19</v>
      </c>
      <c r="Q33">
        <f>SUM(Q22:Q32)</f>
        <v>82854</v>
      </c>
      <c r="S33">
        <f>SUM(S21:S32)</f>
        <v>82854</v>
      </c>
    </row>
    <row r="34" spans="1:19" x14ac:dyDescent="0.3">
      <c r="A34">
        <v>4</v>
      </c>
      <c r="B34" s="30">
        <f>F10</f>
        <v>15282</v>
      </c>
      <c r="C34">
        <f t="shared" si="3"/>
        <v>8</v>
      </c>
      <c r="D34">
        <f>+B34/2</f>
        <v>7641</v>
      </c>
      <c r="F34">
        <v>4</v>
      </c>
      <c r="G34">
        <f>F12</f>
        <v>59</v>
      </c>
      <c r="H34">
        <f t="shared" si="4"/>
        <v>8</v>
      </c>
      <c r="I34">
        <f>+G34/2</f>
        <v>29.5</v>
      </c>
    </row>
    <row r="35" spans="1:19" x14ac:dyDescent="0.3">
      <c r="C35">
        <f t="shared" si="3"/>
        <v>9</v>
      </c>
      <c r="D35">
        <f>+B34/4+B36/4</f>
        <v>7658.75</v>
      </c>
      <c r="H35">
        <f t="shared" si="4"/>
        <v>9</v>
      </c>
      <c r="I35">
        <f>+G34/4+G36/4</f>
        <v>28</v>
      </c>
      <c r="K35" s="34" t="s">
        <v>16</v>
      </c>
      <c r="L35" s="34"/>
      <c r="M35" s="34"/>
      <c r="N35" s="34"/>
      <c r="P35" s="35" t="s">
        <v>22</v>
      </c>
      <c r="Q35" s="35"/>
      <c r="R35" s="35"/>
      <c r="S35" s="35"/>
    </row>
    <row r="36" spans="1:19" x14ac:dyDescent="0.3">
      <c r="A36">
        <v>5</v>
      </c>
      <c r="B36" s="30">
        <f>G10</f>
        <v>15353</v>
      </c>
      <c r="C36">
        <f t="shared" si="3"/>
        <v>10</v>
      </c>
      <c r="D36">
        <f>+B36/2</f>
        <v>7676.5</v>
      </c>
      <c r="F36">
        <v>5</v>
      </c>
      <c r="G36">
        <f>G12</f>
        <v>53</v>
      </c>
      <c r="H36">
        <f t="shared" si="4"/>
        <v>10</v>
      </c>
      <c r="I36">
        <f>+G36/2</f>
        <v>26.5</v>
      </c>
      <c r="K36" s="34" t="s">
        <v>2</v>
      </c>
      <c r="L36" s="34" t="s">
        <v>17</v>
      </c>
      <c r="M36" s="34" t="s">
        <v>18</v>
      </c>
      <c r="N36" s="34" t="s">
        <v>17</v>
      </c>
      <c r="P36" s="35" t="s">
        <v>2</v>
      </c>
      <c r="Q36" s="35" t="s">
        <v>17</v>
      </c>
      <c r="R36" s="35" t="s">
        <v>18</v>
      </c>
      <c r="S36" s="35" t="s">
        <v>17</v>
      </c>
    </row>
    <row r="37" spans="1:19" x14ac:dyDescent="0.3">
      <c r="C37">
        <f t="shared" si="3"/>
        <v>11</v>
      </c>
      <c r="D37">
        <f>+B36/4+B38/4</f>
        <v>7678</v>
      </c>
      <c r="H37">
        <f t="shared" si="4"/>
        <v>11</v>
      </c>
      <c r="I37">
        <f>+G36/4+G38/4</f>
        <v>24.25</v>
      </c>
      <c r="M37">
        <v>1</v>
      </c>
      <c r="N37">
        <f>+L38/4+L48/4</f>
        <v>1829.75</v>
      </c>
      <c r="R37">
        <v>1</v>
      </c>
      <c r="S37">
        <f>+Q38/4+Q48/4</f>
        <v>54318.5</v>
      </c>
    </row>
    <row r="38" spans="1:19" x14ac:dyDescent="0.3">
      <c r="A38">
        <v>6</v>
      </c>
      <c r="B38" s="30">
        <f>H10</f>
        <v>15359</v>
      </c>
      <c r="C38">
        <f t="shared" si="3"/>
        <v>12</v>
      </c>
      <c r="D38">
        <f>+B38/2</f>
        <v>7679.5</v>
      </c>
      <c r="F38">
        <v>6</v>
      </c>
      <c r="G38">
        <f>H12</f>
        <v>44</v>
      </c>
      <c r="H38">
        <f t="shared" si="4"/>
        <v>12</v>
      </c>
      <c r="I38">
        <f>+G38/2</f>
        <v>22</v>
      </c>
      <c r="K38">
        <v>1</v>
      </c>
      <c r="L38" s="30">
        <f>C14</f>
        <v>1760</v>
      </c>
      <c r="M38">
        <f>+M37+1</f>
        <v>2</v>
      </c>
      <c r="N38">
        <f>+L38/2</f>
        <v>880</v>
      </c>
      <c r="P38">
        <v>1</v>
      </c>
      <c r="Q38" s="30">
        <f>C16+C18+C20</f>
        <v>107850</v>
      </c>
      <c r="R38">
        <f>+R37+1</f>
        <v>2</v>
      </c>
      <c r="S38">
        <f>+Q38/2</f>
        <v>53925</v>
      </c>
    </row>
    <row r="39" spans="1:19" x14ac:dyDescent="0.3">
      <c r="A39" t="s">
        <v>19</v>
      </c>
      <c r="B39">
        <f>SUM(B28:B38)</f>
        <v>91957</v>
      </c>
      <c r="D39">
        <f>SUM(D27:D38)</f>
        <v>91957</v>
      </c>
      <c r="F39" t="s">
        <v>19</v>
      </c>
      <c r="G39">
        <f>SUM(G28:G38)</f>
        <v>273</v>
      </c>
      <c r="I39">
        <f>SUM(I27:I38)</f>
        <v>273</v>
      </c>
      <c r="M39">
        <f t="shared" ref="M39:M48" si="5">+M38+1</f>
        <v>3</v>
      </c>
      <c r="N39">
        <f>+L38/4+L40/4</f>
        <v>882</v>
      </c>
      <c r="R39">
        <f t="shared" ref="R39:R48" si="6">+R38+1</f>
        <v>3</v>
      </c>
      <c r="S39">
        <f>+Q38/4+Q40/4</f>
        <v>55330.5</v>
      </c>
    </row>
    <row r="40" spans="1:19" x14ac:dyDescent="0.3">
      <c r="K40">
        <v>2</v>
      </c>
      <c r="L40" s="30">
        <f>D14</f>
        <v>1768</v>
      </c>
      <c r="M40">
        <f t="shared" si="5"/>
        <v>4</v>
      </c>
      <c r="N40">
        <f>+L40/2</f>
        <v>884</v>
      </c>
      <c r="P40">
        <v>2</v>
      </c>
      <c r="Q40" s="30">
        <f>D16+D18+D20</f>
        <v>113472</v>
      </c>
      <c r="R40">
        <f t="shared" si="6"/>
        <v>4</v>
      </c>
      <c r="S40">
        <f>+Q40/2</f>
        <v>56736</v>
      </c>
    </row>
    <row r="41" spans="1:19" x14ac:dyDescent="0.3">
      <c r="M41">
        <f t="shared" si="5"/>
        <v>5</v>
      </c>
      <c r="N41">
        <f>+L40/4+L42/4</f>
        <v>1010.5</v>
      </c>
      <c r="R41">
        <f t="shared" si="6"/>
        <v>5</v>
      </c>
      <c r="S41">
        <f>+Q40/4+Q42/4</f>
        <v>53558.25</v>
      </c>
    </row>
    <row r="42" spans="1:19" x14ac:dyDescent="0.3">
      <c r="K42">
        <v>3</v>
      </c>
      <c r="L42" s="30">
        <f>E14</f>
        <v>2274</v>
      </c>
      <c r="M42">
        <f t="shared" si="5"/>
        <v>6</v>
      </c>
      <c r="N42">
        <f>+L42/2</f>
        <v>1137</v>
      </c>
      <c r="P42">
        <v>3</v>
      </c>
      <c r="Q42" s="30">
        <f>E16+E18+E20</f>
        <v>100761</v>
      </c>
      <c r="R42">
        <f t="shared" si="6"/>
        <v>6</v>
      </c>
      <c r="S42">
        <f>+Q42/2</f>
        <v>50380.5</v>
      </c>
    </row>
    <row r="43" spans="1:19" x14ac:dyDescent="0.3">
      <c r="M43">
        <f t="shared" si="5"/>
        <v>7</v>
      </c>
      <c r="N43">
        <f>+L42/4+L44/4</f>
        <v>1446.75</v>
      </c>
      <c r="R43">
        <f t="shared" si="6"/>
        <v>7</v>
      </c>
      <c r="S43">
        <f>+Q42/4+Q44/4</f>
        <v>50084.25</v>
      </c>
    </row>
    <row r="44" spans="1:19" x14ac:dyDescent="0.3">
      <c r="K44">
        <v>4</v>
      </c>
      <c r="L44" s="30">
        <f>F14</f>
        <v>3513</v>
      </c>
      <c r="M44">
        <f t="shared" si="5"/>
        <v>8</v>
      </c>
      <c r="N44">
        <f>+L44/2</f>
        <v>1756.5</v>
      </c>
      <c r="P44">
        <v>4</v>
      </c>
      <c r="Q44" s="30">
        <f>F16+F18+F20</f>
        <v>99576</v>
      </c>
      <c r="R44">
        <f t="shared" si="6"/>
        <v>8</v>
      </c>
      <c r="S44">
        <f>+Q44/2</f>
        <v>49788</v>
      </c>
    </row>
    <row r="45" spans="1:19" x14ac:dyDescent="0.3">
      <c r="M45">
        <f t="shared" si="5"/>
        <v>9</v>
      </c>
      <c r="N45">
        <f>+L44/4+L46/4</f>
        <v>2820.5</v>
      </c>
      <c r="R45">
        <f t="shared" si="6"/>
        <v>9</v>
      </c>
      <c r="S45">
        <f>+Q44/4+Q46/4</f>
        <v>47915.5</v>
      </c>
    </row>
    <row r="46" spans="1:19" x14ac:dyDescent="0.3">
      <c r="K46">
        <v>5</v>
      </c>
      <c r="L46" s="30">
        <f>G14</f>
        <v>7769</v>
      </c>
      <c r="M46">
        <f t="shared" si="5"/>
        <v>10</v>
      </c>
      <c r="N46">
        <f>+L46/2</f>
        <v>3884.5</v>
      </c>
      <c r="P46">
        <v>5</v>
      </c>
      <c r="Q46" s="30">
        <f>G16+G18+G20</f>
        <v>92086</v>
      </c>
      <c r="R46">
        <f t="shared" si="6"/>
        <v>10</v>
      </c>
      <c r="S46">
        <f>+Q46/2</f>
        <v>46043</v>
      </c>
    </row>
    <row r="47" spans="1:19" x14ac:dyDescent="0.3">
      <c r="M47">
        <f t="shared" si="5"/>
        <v>11</v>
      </c>
      <c r="N47">
        <f>+L46/4+L48/4</f>
        <v>3332</v>
      </c>
      <c r="R47">
        <f t="shared" si="6"/>
        <v>11</v>
      </c>
      <c r="S47">
        <f>+Q46/4+Q48/4</f>
        <v>50377.5</v>
      </c>
    </row>
    <row r="48" spans="1:19" x14ac:dyDescent="0.3">
      <c r="K48">
        <v>6</v>
      </c>
      <c r="L48" s="30">
        <f>H14</f>
        <v>5559</v>
      </c>
      <c r="M48">
        <f t="shared" si="5"/>
        <v>12</v>
      </c>
      <c r="N48">
        <f>+L48/2</f>
        <v>2779.5</v>
      </c>
      <c r="P48">
        <v>6</v>
      </c>
      <c r="Q48" s="30">
        <f>H16+H18+H20</f>
        <v>109424</v>
      </c>
      <c r="R48">
        <f t="shared" si="6"/>
        <v>12</v>
      </c>
      <c r="S48">
        <f>+Q48/2</f>
        <v>54712</v>
      </c>
    </row>
    <row r="49" spans="1:19" ht="15" thickBot="1" x14ac:dyDescent="0.35">
      <c r="K49" t="s">
        <v>19</v>
      </c>
      <c r="L49">
        <f>SUM(L38:L48)</f>
        <v>22643</v>
      </c>
      <c r="N49">
        <f>SUM(N37:N48)</f>
        <v>22643</v>
      </c>
      <c r="P49" t="s">
        <v>19</v>
      </c>
      <c r="Q49">
        <f>SUM(Q38:Q48)</f>
        <v>623169</v>
      </c>
      <c r="S49">
        <f>SUM(S37:S48)</f>
        <v>623169</v>
      </c>
    </row>
    <row r="50" spans="1:19" ht="15" thickBot="1" x14ac:dyDescent="0.35">
      <c r="A50" s="81" t="s">
        <v>35</v>
      </c>
      <c r="B50" s="79" t="s">
        <v>43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80"/>
    </row>
    <row r="51" spans="1:19" ht="15" thickBot="1" x14ac:dyDescent="0.35">
      <c r="A51" s="82"/>
      <c r="B51" s="42" t="s">
        <v>24</v>
      </c>
      <c r="C51" s="43" t="s">
        <v>23</v>
      </c>
      <c r="D51" s="43" t="s">
        <v>25</v>
      </c>
      <c r="E51" s="43" t="s">
        <v>26</v>
      </c>
      <c r="F51" s="43" t="s">
        <v>27</v>
      </c>
      <c r="G51" s="43" t="s">
        <v>28</v>
      </c>
      <c r="H51" s="43" t="s">
        <v>29</v>
      </c>
      <c r="I51" s="43" t="s">
        <v>30</v>
      </c>
      <c r="J51" s="43" t="s">
        <v>31</v>
      </c>
      <c r="K51" s="43" t="s">
        <v>32</v>
      </c>
      <c r="L51" s="43" t="s">
        <v>33</v>
      </c>
      <c r="M51" s="43" t="s">
        <v>34</v>
      </c>
      <c r="N51" s="44" t="s">
        <v>44</v>
      </c>
    </row>
    <row r="52" spans="1:19" x14ac:dyDescent="0.3">
      <c r="A52" s="36" t="s">
        <v>36</v>
      </c>
      <c r="B52" s="47">
        <v>47775</v>
      </c>
      <c r="C52" s="48">
        <v>61871</v>
      </c>
      <c r="D52" s="48">
        <v>65931.75</v>
      </c>
      <c r="E52" s="48">
        <v>69992.5</v>
      </c>
      <c r="F52" s="48">
        <v>61826.25</v>
      </c>
      <c r="G52" s="48">
        <v>53660</v>
      </c>
      <c r="H52" s="48">
        <v>52834.5</v>
      </c>
      <c r="I52" s="48">
        <v>52009</v>
      </c>
      <c r="J52" s="48">
        <v>48962.5</v>
      </c>
      <c r="K52" s="48">
        <v>45916</v>
      </c>
      <c r="L52" s="48">
        <v>39797.5</v>
      </c>
      <c r="M52" s="49">
        <v>33679</v>
      </c>
      <c r="N52" s="50">
        <v>634255</v>
      </c>
    </row>
    <row r="53" spans="1:19" x14ac:dyDescent="0.3">
      <c r="A53" s="37" t="s">
        <v>37</v>
      </c>
      <c r="B53" s="51">
        <v>2985.5</v>
      </c>
      <c r="C53" s="52">
        <v>1667.5</v>
      </c>
      <c r="D53" s="52">
        <v>1523.75</v>
      </c>
      <c r="E53" s="52">
        <v>1380</v>
      </c>
      <c r="F53" s="52">
        <v>1239</v>
      </c>
      <c r="G53" s="52">
        <v>1098</v>
      </c>
      <c r="H53" s="52">
        <v>1692.75</v>
      </c>
      <c r="I53" s="52">
        <v>2287.5</v>
      </c>
      <c r="J53" s="52">
        <v>3116.25</v>
      </c>
      <c r="K53" s="52">
        <v>3945</v>
      </c>
      <c r="L53" s="52">
        <v>4124.25</v>
      </c>
      <c r="M53" s="53">
        <v>4303.5</v>
      </c>
      <c r="N53" s="54">
        <v>29363</v>
      </c>
    </row>
    <row r="54" spans="1:19" x14ac:dyDescent="0.3">
      <c r="A54" s="38" t="s">
        <v>6</v>
      </c>
      <c r="B54" s="55">
        <v>7111</v>
      </c>
      <c r="C54" s="56">
        <v>9007</v>
      </c>
      <c r="D54" s="56">
        <v>8690.75</v>
      </c>
      <c r="E54" s="56">
        <v>8374.5</v>
      </c>
      <c r="F54" s="56">
        <v>7829.5</v>
      </c>
      <c r="G54" s="56">
        <v>7284.5</v>
      </c>
      <c r="H54" s="56">
        <v>6609</v>
      </c>
      <c r="I54" s="56">
        <v>5933.5</v>
      </c>
      <c r="J54" s="56">
        <v>5773</v>
      </c>
      <c r="K54" s="56">
        <v>5612.5</v>
      </c>
      <c r="L54" s="56">
        <v>5413.75</v>
      </c>
      <c r="M54" s="57">
        <v>5215</v>
      </c>
      <c r="N54" s="58">
        <v>82854</v>
      </c>
    </row>
    <row r="55" spans="1:19" x14ac:dyDescent="0.3">
      <c r="A55" s="39" t="s">
        <v>38</v>
      </c>
      <c r="B55" s="59">
        <v>7723.25</v>
      </c>
      <c r="C55" s="60">
        <v>7767</v>
      </c>
      <c r="D55" s="60">
        <v>7706.5</v>
      </c>
      <c r="E55" s="60">
        <v>7646</v>
      </c>
      <c r="F55" s="60">
        <v>7607.25</v>
      </c>
      <c r="G55" s="60">
        <v>7568.5</v>
      </c>
      <c r="H55" s="60">
        <v>7604.75</v>
      </c>
      <c r="I55" s="60">
        <v>7641</v>
      </c>
      <c r="J55" s="60">
        <v>7658.75</v>
      </c>
      <c r="K55" s="60">
        <v>7676.5</v>
      </c>
      <c r="L55" s="60">
        <v>7678</v>
      </c>
      <c r="M55" s="61">
        <v>7679.5</v>
      </c>
      <c r="N55" s="62">
        <v>91957</v>
      </c>
    </row>
    <row r="56" spans="1:19" x14ac:dyDescent="0.3">
      <c r="A56" s="40" t="s">
        <v>39</v>
      </c>
      <c r="B56" s="63">
        <v>19.75</v>
      </c>
      <c r="C56" s="64">
        <v>17.5</v>
      </c>
      <c r="D56" s="64">
        <v>19.5</v>
      </c>
      <c r="E56" s="64">
        <v>21.5</v>
      </c>
      <c r="F56" s="64">
        <v>20.5</v>
      </c>
      <c r="G56" s="64">
        <v>19.5</v>
      </c>
      <c r="H56" s="64">
        <v>24.5</v>
      </c>
      <c r="I56" s="64">
        <v>29.5</v>
      </c>
      <c r="J56" s="64">
        <v>28</v>
      </c>
      <c r="K56" s="64">
        <v>26.5</v>
      </c>
      <c r="L56" s="64">
        <v>24.25</v>
      </c>
      <c r="M56" s="65">
        <v>22</v>
      </c>
      <c r="N56" s="66">
        <v>273</v>
      </c>
    </row>
    <row r="57" spans="1:19" x14ac:dyDescent="0.3">
      <c r="A57" s="41" t="s">
        <v>42</v>
      </c>
      <c r="B57" s="67">
        <v>1829.75</v>
      </c>
      <c r="C57" s="68">
        <v>880</v>
      </c>
      <c r="D57" s="68">
        <v>882</v>
      </c>
      <c r="E57" s="68">
        <v>884</v>
      </c>
      <c r="F57" s="68">
        <v>1010.5</v>
      </c>
      <c r="G57" s="68">
        <v>1137</v>
      </c>
      <c r="H57" s="68">
        <v>1446.75</v>
      </c>
      <c r="I57" s="68">
        <v>1756.5</v>
      </c>
      <c r="J57" s="68">
        <v>2820.5</v>
      </c>
      <c r="K57" s="68">
        <v>3884.5</v>
      </c>
      <c r="L57" s="68">
        <v>3332</v>
      </c>
      <c r="M57" s="69">
        <v>2779.5</v>
      </c>
      <c r="N57" s="70">
        <v>22643</v>
      </c>
    </row>
    <row r="58" spans="1:19" ht="15" thickBot="1" x14ac:dyDescent="0.35">
      <c r="A58" s="45" t="s">
        <v>41</v>
      </c>
      <c r="B58" s="71">
        <v>54318.5</v>
      </c>
      <c r="C58" s="72">
        <v>53925</v>
      </c>
      <c r="D58" s="72">
        <v>55330.5</v>
      </c>
      <c r="E58" s="72">
        <v>56736</v>
      </c>
      <c r="F58" s="72">
        <v>53558.25</v>
      </c>
      <c r="G58" s="72">
        <v>50380.5</v>
      </c>
      <c r="H58" s="72">
        <v>50084.25</v>
      </c>
      <c r="I58" s="72">
        <v>49788</v>
      </c>
      <c r="J58" s="72">
        <v>47915.5</v>
      </c>
      <c r="K58" s="72">
        <v>46043</v>
      </c>
      <c r="L58" s="72">
        <v>50377.5</v>
      </c>
      <c r="M58" s="73">
        <v>54712</v>
      </c>
      <c r="N58" s="74">
        <v>623169</v>
      </c>
    </row>
    <row r="59" spans="1:19" ht="15" thickBot="1" x14ac:dyDescent="0.35">
      <c r="A59" s="46" t="s">
        <v>40</v>
      </c>
      <c r="B59" s="75">
        <f>SUM(B52:B58)</f>
        <v>121762.75</v>
      </c>
      <c r="C59" s="76">
        <f t="shared" ref="C59:M59" si="7">SUM(C52:C58)</f>
        <v>135135</v>
      </c>
      <c r="D59" s="76">
        <f t="shared" si="7"/>
        <v>140084.75</v>
      </c>
      <c r="E59" s="76">
        <f t="shared" si="7"/>
        <v>145034.5</v>
      </c>
      <c r="F59" s="76">
        <f t="shared" si="7"/>
        <v>133091.25</v>
      </c>
      <c r="G59" s="76">
        <f t="shared" si="7"/>
        <v>121148</v>
      </c>
      <c r="H59" s="76">
        <f t="shared" si="7"/>
        <v>120296.5</v>
      </c>
      <c r="I59" s="76">
        <f t="shared" si="7"/>
        <v>119445</v>
      </c>
      <c r="J59" s="76">
        <f t="shared" si="7"/>
        <v>116274.5</v>
      </c>
      <c r="K59" s="76">
        <f t="shared" si="7"/>
        <v>113104</v>
      </c>
      <c r="L59" s="76">
        <f t="shared" si="7"/>
        <v>110747.25</v>
      </c>
      <c r="M59" s="77">
        <f t="shared" si="7"/>
        <v>108390.5</v>
      </c>
      <c r="N59" s="78">
        <f>SUM(B59:M59)</f>
        <v>1484514</v>
      </c>
    </row>
    <row r="63" spans="1:19" ht="15" thickBot="1" x14ac:dyDescent="0.35"/>
    <row r="64" spans="1:19" ht="15" thickBot="1" x14ac:dyDescent="0.35">
      <c r="A64" s="81" t="s">
        <v>0</v>
      </c>
      <c r="B64" s="79" t="s">
        <v>45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80"/>
    </row>
    <row r="65" spans="1:14" ht="15" thickBot="1" x14ac:dyDescent="0.35">
      <c r="A65" s="82"/>
      <c r="B65" s="42" t="s">
        <v>46</v>
      </c>
      <c r="C65" s="43" t="s">
        <v>47</v>
      </c>
      <c r="D65" s="43" t="s">
        <v>48</v>
      </c>
      <c r="E65" s="43" t="s">
        <v>49</v>
      </c>
      <c r="F65" s="43" t="s">
        <v>50</v>
      </c>
      <c r="G65" s="43" t="s">
        <v>51</v>
      </c>
      <c r="H65" s="43" t="s">
        <v>52</v>
      </c>
      <c r="I65" s="43" t="s">
        <v>53</v>
      </c>
      <c r="J65" s="43" t="s">
        <v>54</v>
      </c>
      <c r="K65" s="43" t="s">
        <v>55</v>
      </c>
      <c r="L65" s="43" t="s">
        <v>56</v>
      </c>
      <c r="M65" s="43" t="s">
        <v>57</v>
      </c>
      <c r="N65" s="44" t="s">
        <v>58</v>
      </c>
    </row>
    <row r="66" spans="1:14" x14ac:dyDescent="0.3">
      <c r="A66" s="36" t="s">
        <v>4</v>
      </c>
      <c r="B66" s="47">
        <v>47775</v>
      </c>
      <c r="C66" s="48">
        <v>61871</v>
      </c>
      <c r="D66" s="48">
        <v>65931.75</v>
      </c>
      <c r="E66" s="48">
        <v>69992.5</v>
      </c>
      <c r="F66" s="48">
        <v>61826.25</v>
      </c>
      <c r="G66" s="48">
        <v>53660</v>
      </c>
      <c r="H66" s="48">
        <v>52834.5</v>
      </c>
      <c r="I66" s="48">
        <v>52009</v>
      </c>
      <c r="J66" s="48">
        <v>48962.5</v>
      </c>
      <c r="K66" s="48">
        <v>45916</v>
      </c>
      <c r="L66" s="48">
        <v>39797.5</v>
      </c>
      <c r="M66" s="49">
        <v>33679</v>
      </c>
      <c r="N66" s="50">
        <v>634255</v>
      </c>
    </row>
    <row r="67" spans="1:14" x14ac:dyDescent="0.3">
      <c r="A67" s="37" t="s">
        <v>20</v>
      </c>
      <c r="B67" s="51">
        <v>2985.5</v>
      </c>
      <c r="C67" s="52">
        <v>1667.5</v>
      </c>
      <c r="D67" s="52">
        <v>1523.75</v>
      </c>
      <c r="E67" s="52">
        <v>1380</v>
      </c>
      <c r="F67" s="52">
        <v>1239</v>
      </c>
      <c r="G67" s="52">
        <v>1098</v>
      </c>
      <c r="H67" s="52">
        <v>1692.75</v>
      </c>
      <c r="I67" s="52">
        <v>2287.5</v>
      </c>
      <c r="J67" s="52">
        <v>3116.25</v>
      </c>
      <c r="K67" s="52">
        <v>3945</v>
      </c>
      <c r="L67" s="52">
        <v>4124.25</v>
      </c>
      <c r="M67" s="53">
        <v>4303.5</v>
      </c>
      <c r="N67" s="54">
        <v>29363</v>
      </c>
    </row>
    <row r="68" spans="1:14" x14ac:dyDescent="0.3">
      <c r="A68" s="38" t="s">
        <v>6</v>
      </c>
      <c r="B68" s="55">
        <v>7111</v>
      </c>
      <c r="C68" s="56">
        <v>9007</v>
      </c>
      <c r="D68" s="56">
        <v>8690.75</v>
      </c>
      <c r="E68" s="56">
        <v>8374.5</v>
      </c>
      <c r="F68" s="56">
        <v>7829.5</v>
      </c>
      <c r="G68" s="56">
        <v>7284.5</v>
      </c>
      <c r="H68" s="56">
        <v>6609</v>
      </c>
      <c r="I68" s="56">
        <v>5933.5</v>
      </c>
      <c r="J68" s="56">
        <v>5773</v>
      </c>
      <c r="K68" s="56">
        <v>5612.5</v>
      </c>
      <c r="L68" s="56">
        <v>5413.75</v>
      </c>
      <c r="M68" s="57">
        <v>5215</v>
      </c>
      <c r="N68" s="58">
        <v>82854</v>
      </c>
    </row>
    <row r="69" spans="1:14" x14ac:dyDescent="0.3">
      <c r="A69" s="39" t="s">
        <v>7</v>
      </c>
      <c r="B69" s="59">
        <v>7723.25</v>
      </c>
      <c r="C69" s="60">
        <v>7767</v>
      </c>
      <c r="D69" s="60">
        <v>7706.5</v>
      </c>
      <c r="E69" s="60">
        <v>7646</v>
      </c>
      <c r="F69" s="60">
        <v>7607.25</v>
      </c>
      <c r="G69" s="60">
        <v>7568.5</v>
      </c>
      <c r="H69" s="60">
        <v>7604.75</v>
      </c>
      <c r="I69" s="60">
        <v>7641</v>
      </c>
      <c r="J69" s="60">
        <v>7658.75</v>
      </c>
      <c r="K69" s="60">
        <v>7676.5</v>
      </c>
      <c r="L69" s="60">
        <v>7678</v>
      </c>
      <c r="M69" s="61">
        <v>7679.5</v>
      </c>
      <c r="N69" s="62">
        <v>91957</v>
      </c>
    </row>
    <row r="70" spans="1:14" x14ac:dyDescent="0.3">
      <c r="A70" s="40" t="s">
        <v>59</v>
      </c>
      <c r="B70" s="63">
        <v>19.75</v>
      </c>
      <c r="C70" s="64">
        <v>17.5</v>
      </c>
      <c r="D70" s="64">
        <v>19.5</v>
      </c>
      <c r="E70" s="64">
        <v>21.5</v>
      </c>
      <c r="F70" s="64">
        <v>20.5</v>
      </c>
      <c r="G70" s="64">
        <v>19.5</v>
      </c>
      <c r="H70" s="64">
        <v>24.5</v>
      </c>
      <c r="I70" s="64">
        <v>29.5</v>
      </c>
      <c r="J70" s="64">
        <v>28</v>
      </c>
      <c r="K70" s="64">
        <v>26.5</v>
      </c>
      <c r="L70" s="64">
        <v>24.25</v>
      </c>
      <c r="M70" s="65">
        <v>22</v>
      </c>
      <c r="N70" s="66">
        <v>273</v>
      </c>
    </row>
    <row r="71" spans="1:14" x14ac:dyDescent="0.3">
      <c r="A71" s="41" t="s">
        <v>16</v>
      </c>
      <c r="B71" s="67">
        <v>1829.75</v>
      </c>
      <c r="C71" s="68">
        <v>880</v>
      </c>
      <c r="D71" s="68">
        <v>882</v>
      </c>
      <c r="E71" s="68">
        <v>884</v>
      </c>
      <c r="F71" s="68">
        <v>1010.5</v>
      </c>
      <c r="G71" s="68">
        <v>1137</v>
      </c>
      <c r="H71" s="68">
        <v>1446.75</v>
      </c>
      <c r="I71" s="68">
        <v>1756.5</v>
      </c>
      <c r="J71" s="68">
        <v>2820.5</v>
      </c>
      <c r="K71" s="68">
        <v>3884.5</v>
      </c>
      <c r="L71" s="68">
        <v>3332</v>
      </c>
      <c r="M71" s="69">
        <v>2779.5</v>
      </c>
      <c r="N71" s="70">
        <v>22643</v>
      </c>
    </row>
    <row r="72" spans="1:14" ht="15" thickBot="1" x14ac:dyDescent="0.35">
      <c r="A72" s="45" t="s">
        <v>60</v>
      </c>
      <c r="B72" s="71">
        <v>54318.5</v>
      </c>
      <c r="C72" s="72">
        <v>53925</v>
      </c>
      <c r="D72" s="72">
        <v>55330.5</v>
      </c>
      <c r="E72" s="72">
        <v>56736</v>
      </c>
      <c r="F72" s="72">
        <v>53558.25</v>
      </c>
      <c r="G72" s="72">
        <v>50380.5</v>
      </c>
      <c r="H72" s="72">
        <v>50084.25</v>
      </c>
      <c r="I72" s="72">
        <v>49788</v>
      </c>
      <c r="J72" s="72">
        <v>47915.5</v>
      </c>
      <c r="K72" s="72">
        <v>46043</v>
      </c>
      <c r="L72" s="72">
        <v>50377.5</v>
      </c>
      <c r="M72" s="73">
        <v>54712</v>
      </c>
      <c r="N72" s="74">
        <v>623169</v>
      </c>
    </row>
    <row r="73" spans="1:14" ht="15" thickBot="1" x14ac:dyDescent="0.35">
      <c r="A73" s="46" t="s">
        <v>61</v>
      </c>
      <c r="B73" s="75">
        <f>SUM(B66:B72)</f>
        <v>121762.75</v>
      </c>
      <c r="C73" s="76">
        <f t="shared" ref="C73:M73" si="8">SUM(C66:C72)</f>
        <v>135135</v>
      </c>
      <c r="D73" s="76">
        <f t="shared" si="8"/>
        <v>140084.75</v>
      </c>
      <c r="E73" s="76">
        <f t="shared" si="8"/>
        <v>145034.5</v>
      </c>
      <c r="F73" s="76">
        <f t="shared" si="8"/>
        <v>133091.25</v>
      </c>
      <c r="G73" s="76">
        <f t="shared" si="8"/>
        <v>121148</v>
      </c>
      <c r="H73" s="76">
        <f t="shared" si="8"/>
        <v>120296.5</v>
      </c>
      <c r="I73" s="76">
        <f t="shared" si="8"/>
        <v>119445</v>
      </c>
      <c r="J73" s="76">
        <f t="shared" si="8"/>
        <v>116274.5</v>
      </c>
      <c r="K73" s="76">
        <f t="shared" si="8"/>
        <v>113104</v>
      </c>
      <c r="L73" s="76">
        <f t="shared" si="8"/>
        <v>110747.25</v>
      </c>
      <c r="M73" s="77">
        <f t="shared" si="8"/>
        <v>108390.5</v>
      </c>
      <c r="N73" s="78">
        <f>SUM(B73:M73)</f>
        <v>1484514</v>
      </c>
    </row>
  </sheetData>
  <mergeCells count="6">
    <mergeCell ref="B50:N50"/>
    <mergeCell ref="A50:A51"/>
    <mergeCell ref="C1:H1"/>
    <mergeCell ref="K2:N2"/>
    <mergeCell ref="A64:A65"/>
    <mergeCell ref="B64:N6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54265</dc:creator>
  <cp:lastModifiedBy>juan pablo cecchini</cp:lastModifiedBy>
  <dcterms:created xsi:type="dcterms:W3CDTF">2015-06-05T18:19:34Z</dcterms:created>
  <dcterms:modified xsi:type="dcterms:W3CDTF">2024-09-20T17:06:20Z</dcterms:modified>
</cp:coreProperties>
</file>